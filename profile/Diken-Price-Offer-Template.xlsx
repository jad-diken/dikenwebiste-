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ce Offer" sheetId="1" state="visible" r:id="rId1"/>
    <sheet name="How to use" sheetId="2" state="visible" r:id="rId2"/>
  </sheets>
  <definedNames>
    <definedName name="_xlnm.Print_Area" localSheetId="0">'Price Offer'!$A$1:$F$55</definedName>
  </definedNames>
  <calcPr calcId="124519" fullCalcOnLoad="1"/>
</workbook>
</file>

<file path=xl/styles.xml><?xml version="1.0" encoding="utf-8"?>
<styleSheet xmlns="http://schemas.openxmlformats.org/spreadsheetml/2006/main">
  <numFmts count="1">
    <numFmt numFmtId="164" formatCode="dd mmm yyyy"/>
  </numFmts>
  <fonts count="23">
    <font>
      <name val="Calibri"/>
      <family val="2"/>
      <color theme="1"/>
      <sz val="11"/>
      <scheme val="minor"/>
    </font>
    <font>
      <name val="Arial"/>
      <b val="1"/>
      <color rgb="00FFFFFF"/>
      <sz val="20"/>
    </font>
    <font>
      <name val="Arial"/>
      <b val="1"/>
      <color rgb="00ED1C26"/>
      <sz val="7.5"/>
    </font>
    <font>
      <name val="Arial"/>
      <b val="1"/>
      <color rgb="00B8BABD"/>
      <sz val="6.5"/>
    </font>
    <font>
      <name val="Arial"/>
      <b val="1"/>
      <color rgb="00FFFFFF"/>
      <sz val="9.5"/>
    </font>
    <font>
      <name val="Arial"/>
      <color rgb="00FFFFFF"/>
      <sz val="9"/>
    </font>
    <font>
      <name val="Arial"/>
      <b val="1"/>
      <color rgb="00111214"/>
      <sz val="24"/>
    </font>
    <font>
      <name val="Arial"/>
      <b val="1"/>
      <color rgb="006B6E73"/>
      <sz val="12"/>
    </font>
    <font>
      <name val="Arial"/>
      <b val="1"/>
      <color rgb="00FFFFFF"/>
      <sz val="8"/>
    </font>
    <font>
      <name val="Arial"/>
      <b val="1"/>
      <color rgb="006B6E73"/>
      <sz val="7.5"/>
    </font>
    <font>
      <name val="Arial"/>
      <color rgb="006B6E73"/>
      <sz val="9"/>
    </font>
    <font>
      <name val="Arial"/>
      <color rgb="009A9DA3"/>
      <sz val="9"/>
    </font>
    <font>
      <name val="Arial"/>
      <color rgb="00111214"/>
      <sz val="9"/>
    </font>
    <font>
      <name val="Arial"/>
      <b val="1"/>
      <color rgb="009A9DA3"/>
      <sz val="11"/>
    </font>
    <font>
      <name val="Arial"/>
      <color rgb="00111214"/>
      <sz val="9.5"/>
    </font>
    <font>
      <name val="Arial"/>
      <b val="1"/>
      <color rgb="00FFFFFF"/>
      <sz val="7.5"/>
    </font>
    <font>
      <name val="Arial"/>
      <b val="1"/>
      <color rgb="00FFFFFF"/>
      <sz val="11"/>
    </font>
    <font>
      <name val="Arial"/>
      <color rgb="002A2C30"/>
      <sz val="8.5"/>
    </font>
    <font>
      <name val="Arial"/>
      <color rgb="006B6E73"/>
      <sz val="8"/>
    </font>
    <font>
      <name val="Arial"/>
      <color rgb="00111214"/>
      <sz val="8"/>
    </font>
    <font>
      <name val="Arial"/>
      <color rgb="00FFFFFF"/>
      <sz val="7.5"/>
    </font>
    <font>
      <name val="Arial"/>
      <b val="1"/>
      <color rgb="00111214"/>
      <sz val="14"/>
    </font>
    <font>
      <name val="Arial"/>
      <color rgb="00111214"/>
      <sz val="10"/>
    </font>
  </fonts>
  <fills count="6">
    <fill>
      <patternFill/>
    </fill>
    <fill>
      <patternFill patternType="gray125"/>
    </fill>
    <fill>
      <patternFill patternType="solid">
        <fgColor rgb="000B0B0C"/>
        <bgColor rgb="000B0B0C"/>
      </patternFill>
    </fill>
    <fill>
      <patternFill patternType="solid">
        <fgColor rgb="00D4141D"/>
        <bgColor rgb="00D4141D"/>
      </patternFill>
    </fill>
    <fill>
      <patternFill patternType="solid">
        <fgColor rgb="00ED1C26"/>
        <bgColor rgb="00ED1C26"/>
      </patternFill>
    </fill>
    <fill>
      <patternFill patternType="solid">
        <fgColor rgb="00FAFAFA"/>
        <bgColor rgb="00FAFAFA"/>
      </patternFill>
    </fill>
  </fills>
  <borders count="6">
    <border>
      <left/>
      <right/>
      <top/>
      <bottom/>
      <diagonal/>
    </border>
    <border>
      <top style="medium">
        <color rgb="00ED1C26"/>
      </top>
    </border>
    <border>
      <bottom style="thin">
        <color rgb="00E3E5E8"/>
      </bottom>
    </border>
    <border>
      <top style="thin">
        <color rgb="00E3E5E8"/>
      </top>
    </border>
    <border>
      <left/>
      <right/>
      <top style="thin">
        <color rgb="00E3E5E8"/>
      </top>
      <bottom/>
      <diagonal/>
    </border>
    <border>
      <bottom style="thin">
        <color rgb="00C9CCD1"/>
      </bottom>
    </border>
  </borders>
  <cellStyleXfs count="1">
    <xf numFmtId="0" fontId="0" fillId="0" borderId="0"/>
  </cellStyleXfs>
  <cellXfs count="49">
    <xf numFmtId="0" fontId="0" fillId="0" borderId="0" pivotButton="0" quotePrefix="0" xfId="0"/>
    <xf numFmtId="0" fontId="0" fillId="2" borderId="0" pivotButton="0" quotePrefix="0" xfId="0"/>
    <xf numFmtId="0" fontId="1" fillId="2" borderId="0" applyAlignment="1" pivotButton="0" quotePrefix="0" xfId="0">
      <alignment horizontal="left" vertical="bottom"/>
    </xf>
    <xf numFmtId="0" fontId="0" fillId="3" borderId="0" pivotButton="0" quotePrefix="0" xfId="0"/>
    <xf numFmtId="0" fontId="3" fillId="2" borderId="0" applyAlignment="1" pivotButton="0" quotePrefix="0" xfId="0">
      <alignment horizontal="left" vertical="bottom"/>
    </xf>
    <xf numFmtId="0" fontId="4" fillId="3" borderId="0" applyAlignment="1" pivotButton="0" quotePrefix="0" xfId="0">
      <alignment horizontal="right" vertical="center"/>
    </xf>
    <xf numFmtId="0" fontId="2" fillId="2" borderId="0" applyAlignment="1" pivotButton="0" quotePrefix="0" xfId="0">
      <alignment horizontal="left" vertical="top"/>
    </xf>
    <xf numFmtId="0" fontId="5" fillId="3" borderId="0" applyAlignment="1" pivotButton="0" quotePrefix="0" xfId="0">
      <alignment horizontal="right" vertical="center"/>
    </xf>
    <xf numFmtId="0" fontId="0" fillId="4" borderId="0" pivotButton="0" quotePrefix="0" xfId="0"/>
    <xf numFmtId="0" fontId="6" fillId="0" borderId="0" applyAlignment="1" pivotButton="0" quotePrefix="0" xfId="0">
      <alignment horizontal="left" vertical="bottom"/>
    </xf>
    <xf numFmtId="0" fontId="9" fillId="0" borderId="0" applyAlignment="1" pivotButton="0" quotePrefix="0" xfId="0">
      <alignment horizontal="left" vertical="bottom"/>
    </xf>
    <xf numFmtId="0" fontId="7" fillId="0" borderId="0" applyAlignment="1" pivotButton="0" quotePrefix="0" xfId="0">
      <alignment horizontal="left" vertical="center" readingOrder="2"/>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8" fillId="3" borderId="0" applyAlignment="1" pivotButton="0" quotePrefix="0" xfId="0">
      <alignment horizontal="left" vertical="center" indent="1"/>
    </xf>
    <xf numFmtId="164" fontId="12" fillId="0" borderId="0" applyAlignment="1" pivotButton="0" quotePrefix="0" xfId="0">
      <alignment horizontal="left" vertical="center"/>
    </xf>
    <xf numFmtId="0" fontId="12" fillId="0" borderId="0" applyAlignment="1" pivotButton="0" quotePrefix="0" xfId="0">
      <alignment horizontal="left" vertical="center"/>
    </xf>
    <xf numFmtId="0" fontId="9" fillId="0" borderId="1" applyAlignment="1" pivotButton="0" quotePrefix="0" xfId="0">
      <alignment horizontal="left" vertical="center"/>
    </xf>
    <xf numFmtId="0" fontId="0" fillId="0" borderId="1" pivotButton="0" quotePrefix="0" xfId="0"/>
    <xf numFmtId="0" fontId="13" fillId="0" borderId="0" applyAlignment="1" pivotButton="0" quotePrefix="0" xfId="0">
      <alignment horizontal="left" vertical="center"/>
    </xf>
    <xf numFmtId="0" fontId="14" fillId="0" borderId="0" applyAlignment="1" pivotButton="0" quotePrefix="0" xfId="0">
      <alignment horizontal="left" vertical="top" wrapText="1"/>
    </xf>
    <xf numFmtId="0" fontId="15" fillId="2" borderId="0" applyAlignment="1" pivotButton="0" quotePrefix="0" xfId="0">
      <alignment horizontal="center" vertical="center"/>
    </xf>
    <xf numFmtId="0" fontId="15" fillId="2" borderId="0" applyAlignment="1" pivotButton="0" quotePrefix="0" xfId="0">
      <alignment horizontal="left" vertical="center"/>
    </xf>
    <xf numFmtId="0" fontId="15" fillId="2" borderId="0" applyAlignment="1" pivotButton="0" quotePrefix="0" xfId="0">
      <alignment horizontal="right" vertical="center"/>
    </xf>
    <xf numFmtId="0" fontId="10" fillId="0" borderId="2" applyAlignment="1" pivotButton="0" quotePrefix="0" xfId="0">
      <alignment horizontal="center" vertical="center"/>
    </xf>
    <xf numFmtId="0" fontId="11" fillId="0" borderId="2" applyAlignment="1" pivotButton="0" quotePrefix="0" xfId="0">
      <alignment horizontal="left" vertical="center" wrapText="1"/>
    </xf>
    <xf numFmtId="1" fontId="12" fillId="0" borderId="2" applyAlignment="1" pivotButton="0" quotePrefix="0" xfId="0">
      <alignment horizontal="right" vertical="center"/>
    </xf>
    <xf numFmtId="0" fontId="11" fillId="0" borderId="2" applyAlignment="1" pivotButton="0" quotePrefix="0" xfId="0">
      <alignment horizontal="left" vertical="center"/>
    </xf>
    <xf numFmtId="4" fontId="12" fillId="0" borderId="2" applyAlignment="1" pivotButton="0" quotePrefix="0" xfId="0">
      <alignment horizontal="right" vertical="center"/>
    </xf>
    <xf numFmtId="0" fontId="10" fillId="5" borderId="2" applyAlignment="1" pivotButton="0" quotePrefix="0" xfId="0">
      <alignment horizontal="center" vertical="center"/>
    </xf>
    <xf numFmtId="0" fontId="12" fillId="5" borderId="2" applyAlignment="1" pivotButton="0" quotePrefix="0" xfId="0">
      <alignment horizontal="left" vertical="center" wrapText="1"/>
    </xf>
    <xf numFmtId="1" fontId="12" fillId="5" borderId="2" applyAlignment="1" pivotButton="0" quotePrefix="0" xfId="0">
      <alignment horizontal="right" vertical="center"/>
    </xf>
    <xf numFmtId="0" fontId="12" fillId="5" borderId="2" applyAlignment="1" pivotButton="0" quotePrefix="0" xfId="0">
      <alignment horizontal="left" vertical="center"/>
    </xf>
    <xf numFmtId="4" fontId="12" fillId="5" borderId="2" applyAlignment="1" pivotButton="0" quotePrefix="0" xfId="0">
      <alignment horizontal="right" vertical="center"/>
    </xf>
    <xf numFmtId="0" fontId="12" fillId="0" borderId="2" applyAlignment="1" pivotButton="0" quotePrefix="0" xfId="0">
      <alignment horizontal="left" vertical="center" wrapText="1"/>
    </xf>
    <xf numFmtId="0" fontId="12" fillId="0" borderId="2" applyAlignment="1" pivotButton="0" quotePrefix="0" xfId="0">
      <alignment horizontal="left" vertical="center"/>
    </xf>
    <xf numFmtId="9" fontId="10" fillId="0" borderId="0" applyAlignment="1" pivotButton="0" quotePrefix="0" xfId="0">
      <alignment horizontal="right" vertical="center"/>
    </xf>
    <xf numFmtId="0" fontId="16" fillId="2" borderId="0" applyAlignment="1" pivotButton="0" quotePrefix="0" xfId="0">
      <alignment horizontal="left" vertical="center" indent="1"/>
    </xf>
    <xf numFmtId="4" fontId="16" fillId="2" borderId="0" applyAlignment="1" pivotButton="0" quotePrefix="0" xfId="0">
      <alignment horizontal="right" vertical="center"/>
    </xf>
    <xf numFmtId="0" fontId="17" fillId="0" borderId="0" applyAlignment="1" pivotButton="0" quotePrefix="0" xfId="0">
      <alignment horizontal="left" vertical="top" wrapText="1"/>
    </xf>
    <xf numFmtId="0" fontId="18" fillId="0" borderId="0" applyAlignment="1" pivotButton="0" quotePrefix="0" xfId="0">
      <alignment horizontal="left" vertical="top" wrapText="1"/>
    </xf>
    <xf numFmtId="0" fontId="9" fillId="0" borderId="3" applyAlignment="1" pivotButton="0" quotePrefix="0" xfId="0">
      <alignment horizontal="left" vertical="center"/>
    </xf>
    <xf numFmtId="0" fontId="0" fillId="0" borderId="4" pivotButton="0" quotePrefix="0" xfId="0"/>
    <xf numFmtId="0" fontId="19" fillId="0" borderId="0" applyAlignment="1" pivotButton="0" quotePrefix="0" xfId="0">
      <alignment horizontal="left" vertical="bottom"/>
    </xf>
    <xf numFmtId="0" fontId="0" fillId="0" borderId="5" pivotButton="0" quotePrefix="0" xfId="0"/>
    <xf numFmtId="0" fontId="20" fillId="2" borderId="1" applyAlignment="1" pivotButton="0" quotePrefix="0" xfId="0">
      <alignment horizontal="center" vertical="center"/>
    </xf>
    <xf numFmtId="0" fontId="0" fillId="2" borderId="1" pivotButton="0" quotePrefix="0" xfId="0"/>
    <xf numFmtId="0" fontId="21" fillId="0" borderId="0" applyAlignment="1" pivotButton="0" quotePrefix="0" xfId="0">
      <alignment vertical="top" wrapText="1"/>
    </xf>
    <xf numFmtId="0" fontId="2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457200" cy="457200"/>
    <pic>
      <nvPicPr>
        <cNvPr id="1" name="Image 1" descr="Picture"/>
        <cNvPicPr/>
      </nvPicPr>
      <blipFill>
        <a:blip cstate="print" r:embed="rId1"/>
        <a:stretch>
          <a:fillRect/>
        </a:stretch>
      </blipFill>
      <spPr>
        <a:prstGeom prst="rect"/>
      </spPr>
    </pic>
    <clientData/>
  </oneCellAnchor>
  <oneCellAnchor>
    <from>
      <col>3</col>
      <colOff>0</colOff>
      <row>2</row>
      <rowOff>0</rowOff>
    </from>
    <ext cx="876300" cy="238125"/>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F55"/>
  <sheetViews>
    <sheetView showGridLines="0" workbookViewId="0">
      <selection activeCell="A1" sqref="A1"/>
    </sheetView>
  </sheetViews>
  <sheetFormatPr baseColWidth="8" defaultRowHeight="15"/>
  <cols>
    <col width="8.5" customWidth="1" min="1" max="1"/>
    <col width="44" customWidth="1" min="2" max="2"/>
    <col width="8" customWidth="1" min="3" max="3"/>
    <col width="10" customWidth="1" min="4" max="4"/>
    <col width="14" customWidth="1" min="5" max="5"/>
    <col width="19" customWidth="1" min="6" max="6"/>
  </cols>
  <sheetData>
    <row r="1" ht="15" customHeight="1">
      <c r="A1" s="1" t="n"/>
      <c r="B1" s="2" t="inlineStr">
        <is>
          <t>DIKEN BROS</t>
        </is>
      </c>
      <c r="D1" s="1" t="n"/>
      <c r="E1" s="1" t="n"/>
      <c r="F1" s="3" t="n"/>
    </row>
    <row r="2" ht="15" customHeight="1">
      <c r="A2" s="1" t="n"/>
      <c r="D2" s="4" t="inlineStr">
        <is>
          <t>EXCLUSIVE AGENT FOR JORDAN</t>
        </is>
      </c>
      <c r="F2" s="5" t="inlineStr">
        <is>
          <t>06 416 6660</t>
        </is>
      </c>
    </row>
    <row r="3" ht="15" customHeight="1">
      <c r="A3" s="1" t="n"/>
      <c r="B3" s="6" t="inlineStr">
        <is>
          <t>POWER · PERFORMANCE · PRECISION</t>
        </is>
      </c>
      <c r="D3" s="1" t="n"/>
      <c r="F3" s="7" t="inlineStr">
        <is>
          <t>info@dikenbros.com</t>
        </is>
      </c>
    </row>
    <row r="4" ht="15" customHeight="1">
      <c r="A4" s="1" t="n"/>
      <c r="B4" s="1" t="n"/>
      <c r="C4" s="1" t="n"/>
      <c r="F4" s="7" t="inlineStr">
        <is>
          <t>dikendelivery.com</t>
        </is>
      </c>
    </row>
    <row r="5" ht="15" customHeight="1">
      <c r="A5" s="1" t="n"/>
      <c r="B5" s="1" t="n"/>
      <c r="C5" s="1" t="n"/>
      <c r="D5" s="1" t="n"/>
      <c r="E5" s="1" t="n"/>
      <c r="F5" s="3" t="n"/>
    </row>
    <row r="6" ht="5" customHeight="1">
      <c r="A6" s="8" t="n"/>
      <c r="B6" s="8" t="n"/>
      <c r="C6" s="8" t="n"/>
      <c r="D6" s="8" t="n"/>
      <c r="E6" s="8" t="n"/>
      <c r="F6" s="8" t="n"/>
    </row>
    <row r="7" ht="10" customHeight="1"/>
    <row r="8" ht="30" customHeight="1">
      <c r="A8" s="9" t="inlineStr">
        <is>
          <t>Price Offer</t>
        </is>
      </c>
      <c r="C8" s="10" t="inlineStr">
        <is>
          <t>OFFER</t>
        </is>
      </c>
      <c r="E8" s="10" t="inlineStr">
        <is>
          <t>YOUR REFERENCE</t>
        </is>
      </c>
    </row>
    <row r="9" ht="18" customHeight="1">
      <c r="A9" s="11" t="inlineStr">
        <is>
          <t>عرض سعر</t>
        </is>
      </c>
      <c r="C9" s="12" t="inlineStr">
        <is>
          <t>Offer no.</t>
        </is>
      </c>
      <c r="D9" s="13" t="inlineStr">
        <is>
          <t>DB-Q-2026-____</t>
        </is>
      </c>
      <c r="E9" s="12" t="inlineStr">
        <is>
          <t>RFQ no.</t>
        </is>
      </c>
      <c r="F9" s="13" t="inlineStr">
        <is>
          <t>[client reference]</t>
        </is>
      </c>
    </row>
    <row r="10" ht="16" customHeight="1">
      <c r="A10" s="14" t="inlineStr">
        <is>
          <t>Distribution &amp; Agencies</t>
        </is>
      </c>
      <c r="C10" s="12" t="inlineStr">
        <is>
          <t>Date</t>
        </is>
      </c>
      <c r="D10" s="15" t="n"/>
      <c r="E10" s="12" t="inlineStr">
        <is>
          <t>Enquiry date</t>
        </is>
      </c>
      <c r="F10" s="15" t="n"/>
    </row>
    <row r="11" ht="15" customHeight="1">
      <c r="C11" s="12" t="inlineStr">
        <is>
          <t>Valid until</t>
        </is>
      </c>
      <c r="D11" s="15">
        <f>IF(ISNUMBER(D10),D10+30,"")</f>
        <v/>
      </c>
      <c r="E11" s="12" t="inlineStr">
        <is>
          <t>Pages</t>
        </is>
      </c>
      <c r="F11" s="16" t="inlineStr">
        <is>
          <t>1 of 1</t>
        </is>
      </c>
    </row>
    <row r="12" ht="15" customHeight="1">
      <c r="C12" s="12" t="inlineStr">
        <is>
          <t>Currency</t>
        </is>
      </c>
      <c r="D12" s="16" t="inlineStr">
        <is>
          <t>JOD</t>
        </is>
      </c>
    </row>
    <row r="13" ht="8" customHeight="1"/>
    <row r="14" ht="16" customHeight="1">
      <c r="A14" s="17" t="inlineStr">
        <is>
          <t>PREPARED FOR</t>
        </is>
      </c>
      <c r="B14" s="18" t="n"/>
      <c r="C14" s="18" t="n"/>
      <c r="D14" s="17" t="inlineStr">
        <is>
          <t>PREPARED BY</t>
        </is>
      </c>
      <c r="E14" s="18" t="n"/>
      <c r="F14" s="18" t="n"/>
    </row>
    <row r="15" ht="16" customHeight="1">
      <c r="A15" s="19" t="inlineStr">
        <is>
          <t>[Client company]</t>
        </is>
      </c>
      <c r="D15" s="19" t="inlineStr">
        <is>
          <t>[Your name]</t>
        </is>
      </c>
    </row>
    <row r="16" ht="14" customHeight="1">
      <c r="A16" s="13" t="inlineStr">
        <is>
          <t>Attn. [Name], [Title]</t>
        </is>
      </c>
      <c r="D16" s="16" t="inlineStr">
        <is>
          <t>Diken Bros Co., Distribution &amp; Agencies</t>
        </is>
      </c>
    </row>
    <row r="17" ht="14" customHeight="1">
      <c r="A17" s="13" t="inlineStr">
        <is>
          <t>[Address, city]</t>
        </is>
      </c>
      <c r="D17" s="16" t="inlineStr">
        <is>
          <t>Wadi Saqra, Arar Street 14, Amman 11181</t>
        </is>
      </c>
    </row>
    <row r="18" ht="14" customHeight="1">
      <c r="A18" s="13" t="inlineStr">
        <is>
          <t>[email] · [phone]</t>
        </is>
      </c>
      <c r="D18" s="13" t="inlineStr">
        <is>
          <t>[name]@dikenbros.com · [mobile]</t>
        </is>
      </c>
    </row>
    <row r="19" ht="8" customHeight="1"/>
    <row r="20" ht="30" customHeight="1">
      <c r="A20" s="20" t="inlineStr">
        <is>
          <t>Subject: Supply of Motul lubricants for [client / fleet / site]. Prices are for genuine Motul products supplied by Diken Bros as exclusive agent for Jordan, delivered to [delivery address].</t>
        </is>
      </c>
    </row>
    <row r="21" ht="8" customHeight="1"/>
    <row r="22" ht="18" customHeight="1">
      <c r="A22" s="21" t="inlineStr">
        <is>
          <t>#</t>
        </is>
      </c>
      <c r="B22" s="22" t="inlineStr">
        <is>
          <t>DESCRIPTION</t>
        </is>
      </c>
      <c r="C22" s="23" t="inlineStr">
        <is>
          <t>QTY</t>
        </is>
      </c>
      <c r="D22" s="22" t="inlineStr">
        <is>
          <t>UNIT</t>
        </is>
      </c>
      <c r="E22" s="23" t="inlineStr">
        <is>
          <t>UNIT PRICE</t>
        </is>
      </c>
      <c r="F22" s="23" t="inlineStr">
        <is>
          <t>TOTAL</t>
        </is>
      </c>
    </row>
    <row r="23" ht="20" customHeight="1">
      <c r="A23" s="24" t="n">
        <v>1</v>
      </c>
      <c r="B23" s="25" t="inlineStr">
        <is>
          <t>[Product, grade and pack size. Motul part number]</t>
        </is>
      </c>
      <c r="C23" s="26" t="n"/>
      <c r="D23" s="27" t="inlineStr">
        <is>
          <t>case</t>
        </is>
      </c>
      <c r="E23" s="28" t="n"/>
      <c r="F23" s="28">
        <f>IF(OR(C23="",E23=""),"",C23*E23)</f>
        <v/>
      </c>
    </row>
    <row r="24" ht="20" customHeight="1">
      <c r="A24" s="29" t="n">
        <v>2</v>
      </c>
      <c r="B24" s="30" t="n"/>
      <c r="C24" s="31" t="n"/>
      <c r="D24" s="32" t="n"/>
      <c r="E24" s="33" t="n"/>
      <c r="F24" s="33">
        <f>IF(OR(C24="",E24=""),"",C24*E24)</f>
        <v/>
      </c>
    </row>
    <row r="25" ht="20" customHeight="1">
      <c r="A25" s="24" t="n">
        <v>3</v>
      </c>
      <c r="B25" s="34" t="n"/>
      <c r="C25" s="26" t="n"/>
      <c r="D25" s="35" t="n"/>
      <c r="E25" s="28" t="n"/>
      <c r="F25" s="28">
        <f>IF(OR(C25="",E25=""),"",C25*E25)</f>
        <v/>
      </c>
    </row>
    <row r="26" ht="20" customHeight="1">
      <c r="A26" s="29" t="n">
        <v>4</v>
      </c>
      <c r="B26" s="30" t="n"/>
      <c r="C26" s="31" t="n"/>
      <c r="D26" s="32" t="n"/>
      <c r="E26" s="33" t="n"/>
      <c r="F26" s="33">
        <f>IF(OR(C26="",E26=""),"",C26*E26)</f>
        <v/>
      </c>
    </row>
    <row r="27" ht="20" customHeight="1">
      <c r="A27" s="24" t="n">
        <v>5</v>
      </c>
      <c r="B27" s="34" t="n"/>
      <c r="C27" s="26" t="n"/>
      <c r="D27" s="35" t="n"/>
      <c r="E27" s="28" t="n"/>
      <c r="F27" s="28">
        <f>IF(OR(C27="",E27=""),"",C27*E27)</f>
        <v/>
      </c>
    </row>
    <row r="28" ht="20" customHeight="1">
      <c r="A28" s="29" t="n">
        <v>6</v>
      </c>
      <c r="B28" s="30" t="n"/>
      <c r="C28" s="31" t="n"/>
      <c r="D28" s="32" t="n"/>
      <c r="E28" s="33" t="n"/>
      <c r="F28" s="33">
        <f>IF(OR(C28="",E28=""),"",C28*E28)</f>
        <v/>
      </c>
    </row>
    <row r="29" ht="20" customHeight="1">
      <c r="A29" s="24" t="n">
        <v>7</v>
      </c>
      <c r="B29" s="34" t="n"/>
      <c r="C29" s="26" t="n"/>
      <c r="D29" s="35" t="n"/>
      <c r="E29" s="28" t="n"/>
      <c r="F29" s="28">
        <f>IF(OR(C29="",E29=""),"",C29*E29)</f>
        <v/>
      </c>
    </row>
    <row r="30" ht="20" customHeight="1">
      <c r="A30" s="29" t="n">
        <v>8</v>
      </c>
      <c r="B30" s="30" t="n"/>
      <c r="C30" s="31" t="n"/>
      <c r="D30" s="32" t="n"/>
      <c r="E30" s="33" t="n"/>
      <c r="F30" s="33">
        <f>IF(OR(C30="",E30=""),"",C30*E30)</f>
        <v/>
      </c>
    </row>
    <row r="31" ht="20" customHeight="1">
      <c r="A31" s="24" t="n">
        <v>9</v>
      </c>
      <c r="B31" s="34" t="n"/>
      <c r="C31" s="26" t="n"/>
      <c r="D31" s="35" t="n"/>
      <c r="E31" s="28" t="n"/>
      <c r="F31" s="28">
        <f>IF(OR(C31="",E31=""),"",C31*E31)</f>
        <v/>
      </c>
    </row>
    <row r="32" ht="20" customHeight="1">
      <c r="A32" s="29" t="n">
        <v>10</v>
      </c>
      <c r="B32" s="30" t="n"/>
      <c r="C32" s="31" t="n"/>
      <c r="D32" s="32" t="n"/>
      <c r="E32" s="33" t="n"/>
      <c r="F32" s="33">
        <f>IF(OR(C32="",E32=""),"",C32*E32)</f>
        <v/>
      </c>
    </row>
    <row r="33" ht="20" customHeight="1">
      <c r="A33" s="24" t="n">
        <v>11</v>
      </c>
      <c r="B33" s="34" t="n"/>
      <c r="C33" s="26" t="n"/>
      <c r="D33" s="35" t="n"/>
      <c r="E33" s="28" t="n"/>
      <c r="F33" s="28">
        <f>IF(OR(C33="",E33=""),"",C33*E33)</f>
        <v/>
      </c>
    </row>
    <row r="34" ht="20" customHeight="1">
      <c r="A34" s="29" t="n">
        <v>12</v>
      </c>
      <c r="B34" s="30" t="n"/>
      <c r="C34" s="31" t="n"/>
      <c r="D34" s="32" t="n"/>
      <c r="E34" s="33" t="n"/>
      <c r="F34" s="33">
        <f>IF(OR(C34="",E34=""),"",C34*E34)</f>
        <v/>
      </c>
    </row>
    <row r="35" ht="8" customHeight="1"/>
    <row r="36" ht="16" customHeight="1">
      <c r="E36" s="35" t="inlineStr">
        <is>
          <t>Subtotal</t>
        </is>
      </c>
      <c r="F36" s="28">
        <f>SUM(F23:F34)</f>
        <v/>
      </c>
    </row>
    <row r="37" ht="16" customHeight="1">
      <c r="D37" s="36" t="n">
        <v>0</v>
      </c>
      <c r="E37" s="35" t="inlineStr">
        <is>
          <t>Discount</t>
        </is>
      </c>
      <c r="F37" s="28">
        <f>-F36*D37</f>
        <v/>
      </c>
    </row>
    <row r="38" ht="16" customHeight="1">
      <c r="E38" s="35" t="inlineStr">
        <is>
          <t>Net</t>
        </is>
      </c>
      <c r="F38" s="28">
        <f>F36+F37</f>
        <v/>
      </c>
    </row>
    <row r="39" ht="16" customHeight="1">
      <c r="D39" s="36" t="n">
        <v>0.16</v>
      </c>
      <c r="E39" s="35" t="inlineStr">
        <is>
          <t>Sales tax</t>
        </is>
      </c>
      <c r="F39" s="28">
        <f>F38*D39</f>
        <v/>
      </c>
    </row>
    <row r="40" ht="20" customHeight="1">
      <c r="E40" s="37" t="inlineStr">
        <is>
          <t>Total, JOD</t>
        </is>
      </c>
      <c r="F40" s="38">
        <f>F38+F39</f>
        <v/>
      </c>
    </row>
    <row r="41" ht="10" customHeight="1"/>
    <row r="42" ht="13" customHeight="1">
      <c r="A42" s="10" t="inlineStr">
        <is>
          <t>VALIDITY</t>
        </is>
      </c>
      <c r="D42" s="10" t="inlineStr">
        <is>
          <t>PAYMENT</t>
        </is>
      </c>
    </row>
    <row r="43" ht="28" customHeight="1">
      <c r="A43" s="39" t="inlineStr">
        <is>
          <t>30 days from the date of this offer. Prices are subject to Motul's price list at the time of order confirmation.</t>
        </is>
      </c>
      <c r="D43" s="39" t="inlineStr">
        <is>
          <t>As agreed by contract.</t>
        </is>
      </c>
    </row>
    <row r="44" ht="13" customHeight="1">
      <c r="A44" s="10" t="inlineStr">
        <is>
          <t>DELIVERY</t>
        </is>
      </c>
      <c r="D44" s="10" t="inlineStr">
        <is>
          <t>WARRANTY AND RETURNS</t>
        </is>
      </c>
    </row>
    <row r="45" ht="28" customHeight="1">
      <c r="A45" s="39" t="inlineStr">
        <is>
          <t>Ex-stock items within 5 working days of order confirmation. Delivery by Diken company vehicles to the address above.</t>
        </is>
      </c>
      <c r="D45" s="39" t="inlineStr">
        <is>
          <t>Genuine Motul products with manufacturer warranty. Unopened, undamaged cases returnable within 14 days.</t>
        </is>
      </c>
    </row>
    <row r="46" ht="6" customHeight="1"/>
    <row r="47" ht="26" customHeight="1">
      <c r="A47" s="40" t="inlineStr">
        <is>
          <t>Prices in Jordanian Dinars. Sales tax at the prevailing rate. This offer is confidential and intended for the addressee. Acceptance by signature below or by purchase order referencing the offer number.</t>
        </is>
      </c>
    </row>
    <row r="48" ht="10" customHeight="1"/>
    <row r="49" ht="18" customHeight="1">
      <c r="A49" s="41" t="inlineStr">
        <is>
          <t>ACCEPTED FOR THE CLIENT</t>
        </is>
      </c>
      <c r="B49" s="42" t="n"/>
      <c r="C49" s="42" t="n"/>
      <c r="D49" s="41" t="inlineStr">
        <is>
          <t>FOR DIKEN BROS CO.</t>
        </is>
      </c>
      <c r="E49" s="42" t="n"/>
      <c r="F49" s="42" t="n"/>
    </row>
    <row r="50" ht="18" customHeight="1">
      <c r="A50" s="43" t="inlineStr">
        <is>
          <t>Name</t>
        </is>
      </c>
      <c r="B50" s="44" t="n"/>
      <c r="C50" s="44" t="n"/>
      <c r="D50" s="43" t="inlineStr">
        <is>
          <t>Name</t>
        </is>
      </c>
      <c r="E50" s="44" t="n"/>
      <c r="F50" s="44" t="n"/>
    </row>
    <row r="51" ht="18" customHeight="1">
      <c r="A51" s="43" t="inlineStr">
        <is>
          <t>Title</t>
        </is>
      </c>
      <c r="B51" s="44" t="n"/>
      <c r="C51" s="44" t="n"/>
      <c r="D51" s="43" t="inlineStr">
        <is>
          <t>Title</t>
        </is>
      </c>
      <c r="E51" s="44" t="n"/>
      <c r="F51" s="44" t="n"/>
    </row>
    <row r="52" ht="18" customHeight="1">
      <c r="A52" s="43" t="inlineStr">
        <is>
          <t>Signature</t>
        </is>
      </c>
      <c r="B52" s="44" t="n"/>
      <c r="C52" s="44" t="n"/>
      <c r="D52" s="43" t="inlineStr">
        <is>
          <t>Signature</t>
        </is>
      </c>
      <c r="E52" s="44" t="n"/>
      <c r="F52" s="44" t="n"/>
    </row>
    <row r="53" ht="18" customHeight="1">
      <c r="A53" s="43" t="inlineStr">
        <is>
          <t>Date</t>
        </is>
      </c>
      <c r="B53" s="44" t="n"/>
      <c r="C53" s="44" t="n"/>
      <c r="D53" s="43" t="inlineStr">
        <is>
          <t>Date</t>
        </is>
      </c>
      <c r="E53" s="44" t="n"/>
      <c r="F53" s="44" t="n"/>
    </row>
    <row r="54" ht="10" customHeight="1"/>
    <row r="55" ht="22" customHeight="1">
      <c r="A55" s="45" t="inlineStr">
        <is>
          <t>Diken Bros Co.  ·  Wadi Saqra, Arar Street 14, Amman 11181, Jordan  ·  Tel 06 416 6660  ·  info@dikenbros.com  ·  dikendelivery.com</t>
        </is>
      </c>
      <c r="B55" s="46" t="n"/>
      <c r="C55" s="46" t="n"/>
      <c r="D55" s="46" t="n"/>
      <c r="E55" s="46" t="n"/>
      <c r="F55" s="46" t="n"/>
    </row>
  </sheetData>
  <mergeCells count="36">
    <mergeCell ref="E50:F50"/>
    <mergeCell ref="B3:C3"/>
    <mergeCell ref="D3:E4"/>
    <mergeCell ref="B1:C2"/>
    <mergeCell ref="A18:C18"/>
    <mergeCell ref="D17:F17"/>
    <mergeCell ref="E52:F52"/>
    <mergeCell ref="A55:F55"/>
    <mergeCell ref="D16:F16"/>
    <mergeCell ref="D43:F43"/>
    <mergeCell ref="A42:C42"/>
    <mergeCell ref="B52:C52"/>
    <mergeCell ref="E51:F51"/>
    <mergeCell ref="A47:F47"/>
    <mergeCell ref="D2:E2"/>
    <mergeCell ref="A17:C17"/>
    <mergeCell ref="D18:F18"/>
    <mergeCell ref="A20:F20"/>
    <mergeCell ref="A43:C43"/>
    <mergeCell ref="D15:F15"/>
    <mergeCell ref="B53:C53"/>
    <mergeCell ref="D42:F42"/>
    <mergeCell ref="A44:C44"/>
    <mergeCell ref="D49:F49"/>
    <mergeCell ref="D44:F44"/>
    <mergeCell ref="A15:C15"/>
    <mergeCell ref="A8:B8"/>
    <mergeCell ref="A49:C49"/>
    <mergeCell ref="A45:C45"/>
    <mergeCell ref="B51:C51"/>
    <mergeCell ref="A10:B10"/>
    <mergeCell ref="E53:F53"/>
    <mergeCell ref="D45:F45"/>
    <mergeCell ref="B50:C50"/>
    <mergeCell ref="A9:B9"/>
    <mergeCell ref="A16:C16"/>
  </mergeCells>
  <printOptions horizontalCentered="1"/>
  <pageMargins left="0.4" right="0.4" top="0.4" bottom="0.4" header="0.2" footer="0.2"/>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47" t="inlineStr">
        <is>
          <t>How to use the Diken Bros price offer sheet</t>
        </is>
      </c>
    </row>
    <row r="2">
      <c r="A2" s="48" t="inlineStr"/>
    </row>
    <row r="3">
      <c r="A3" s="48" t="inlineStr">
        <is>
          <t>1. Save a copy per offer, named after the offer number, e.g. DB-Q-2026-0143.</t>
        </is>
      </c>
    </row>
    <row r="4">
      <c r="A4" s="48" t="inlineStr">
        <is>
          <t>2. Fill the grey placeholders: offer number, date (Valid until fills itself, 30 days later), client details, your name and mobile, the subject.</t>
        </is>
      </c>
    </row>
    <row r="5">
      <c r="A5" s="48" t="inlineStr">
        <is>
          <t>3. Type each item: description with Motul part number, quantity, unit, and unit price. The line total, subtotal, discount, net, sales tax and total calculate on their own.</t>
        </is>
      </c>
    </row>
    <row r="6">
      <c r="A6" s="48" t="inlineStr">
        <is>
          <t>4. Discount and tax percentages sit in column D next to their labels (grey). Leave discount at 0% if none.</t>
        </is>
      </c>
    </row>
    <row r="7">
      <c r="A7" s="48" t="inlineStr">
        <is>
          <t>5. Payment reads 'As agreed by contract'. Change it only when a deal has no contract.</t>
        </is>
      </c>
    </row>
    <row r="8">
      <c r="A8" s="48" t="inlineStr">
        <is>
          <t>6. Check the print preview, then export as PDF (File &gt; Save As &gt; PDF, or File &gt; Download &gt; PDF in Google Sheets) before sending to the client.</t>
        </is>
      </c>
    </row>
    <row r="9">
      <c r="A9" s="48" t="inlineStr"/>
    </row>
    <row r="10">
      <c r="A10" s="48" t="inlineStr">
        <is>
          <t>Do not change the letterhead, footer or terms without checking with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2026-09-15T13:16:22Z</dcterms:created>
  <dcterms:modified xsi:type="dcterms:W3CDTF">2026-09-15T13:16:22Z</dcterms:modified>
</cp:coreProperties>
</file>